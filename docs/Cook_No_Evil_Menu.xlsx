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nallar" sheetId="1" state="visible" r:id="rId3"/>
    <sheet name="Malzeme Listesi" sheetId="2" state="visible" r:id="rId4"/>
    <sheet name="Hamburger Menüsü" sheetId="3" state="visible" r:id="rId5"/>
    <sheet name="Zorluk &amp; Tuzaklar" sheetId="4" state="visible" r:id="rId6"/>
    <sheet name="Seviye Giriş Sırası" sheetId="5" state="visible" r:id="rId7"/>
    <sheet name="Açık Kararlar" sheetId="6" state="visible" r:id="rId8"/>
    <sheet name="Kaynakla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<sst xmlns="http://schemas.openxmlformats.org/spreadsheetml/2006/main" count="347" uniqueCount="252">
  <si>
    <t xml:space="preserve">İletişim Kanalları ve Kapasiteleri</t>
  </si>
  <si>
    <t xml:space="preserve">GDD §3.6 — Kasiyer siparişi bu kanallardan kodlayarak Komi'ye aktarır. Her kanalın görsel karışma riski olmadan taşıyabileceği bir sınır var.</t>
  </si>
  <si>
    <t xml:space="preserve">Kategori</t>
  </si>
  <si>
    <t xml:space="preserve">Kanal</t>
  </si>
  <si>
    <t xml:space="preserve">Nasıl Gösteriliyor</t>
  </si>
  <si>
    <t xml:space="preserve">Kapasite (pratik)</t>
  </si>
  <si>
    <t xml:space="preserve">Kullanılan</t>
  </si>
  <si>
    <t xml:space="preserve">Seçim Tipi</t>
  </si>
  <si>
    <t xml:space="preserve">Ana Protein</t>
  </si>
  <si>
    <t xml:space="preserve">Yön</t>
  </si>
  <si>
    <t xml:space="preserve">4 yönden birini işaret etme (yukarı/aşağı/sol/sağ)</t>
  </si>
  <si>
    <t xml:space="preserve">Tek seçim</t>
  </si>
  <si>
    <t xml:space="preserve">Garnitür</t>
  </si>
  <si>
    <t xml:space="preserve">Sayı</t>
  </si>
  <si>
    <t xml:space="preserve">Numaralı listeye göre parmakla sırayla gösterme</t>
  </si>
  <si>
    <t xml:space="preserve">Çoklu seçim</t>
  </si>
  <si>
    <t xml:space="preserve">Sos</t>
  </si>
  <si>
    <t xml:space="preserve">Renk</t>
  </si>
  <si>
    <t xml:space="preserve">Elin rengi değişip sallanıyor</t>
  </si>
  <si>
    <t xml:space="preserve">Çoklu seçim (maks 2)</t>
  </si>
  <si>
    <t xml:space="preserve">İçecek</t>
  </si>
  <si>
    <t xml:space="preserve">Şekil</t>
  </si>
  <si>
    <t xml:space="preserve">Elle/kolla geometrik şeklin kendisini oluşturma</t>
  </si>
  <si>
    <t xml:space="preserve">Dondurma</t>
  </si>
  <si>
    <t xml:space="preserve">Vücut Bölgesi</t>
  </si>
  <si>
    <t xml:space="preserve">Vücudun bir noktasına dokunma (Simon Says)</t>
  </si>
  <si>
    <t xml:space="preserve">KARARLAR</t>
  </si>
  <si>
    <t xml:space="preserve">• Peynir artık ayrı bir kanal değil — garnitür listesinin 5. maddesi (sayı kanalı).</t>
  </si>
  <si>
    <t xml:space="preserve">• Ekmek türü yok — her hamburgerde aynı ekmek, hiçbir sinyal gerektirmiyor (şimdilik; ileride değişebilir).</t>
  </si>
  <si>
    <t xml:space="preserve">• Garnitür kanalı 5/6 dolu — yeni bir garnitür için yalnızca 1 slot kaldı.</t>
  </si>
  <si>
    <t xml:space="preserve">Tam Malzeme Listesi ve Kod Ataması</t>
  </si>
  <si>
    <t xml:space="preserve">Kaynak: gerçek fast-food standart yapıları (McDonald's ürün sayfaları) temel alınarak oyun için sadeleştirildi.</t>
  </si>
  <si>
    <t xml:space="preserve">#</t>
  </si>
  <si>
    <t xml:space="preserve">Malzeme</t>
  </si>
  <si>
    <t xml:space="preserve">Kod / Sinyal</t>
  </si>
  <si>
    <t xml:space="preserve">Gerçek Dünya Dayanağı</t>
  </si>
  <si>
    <t xml:space="preserve">Et (Dana)</t>
  </si>
  <si>
    <t xml:space="preserve">Yön: Yukarı</t>
  </si>
  <si>
    <t xml:space="preserve">Quarter Pounder — dana köfte</t>
  </si>
  <si>
    <t xml:space="preserve">Tavuk</t>
  </si>
  <si>
    <t xml:space="preserve">Yön: Aşağı</t>
  </si>
  <si>
    <t xml:space="preserve">McChicken / McCrispy — kaplamalı tavuk</t>
  </si>
  <si>
    <t xml:space="preserve">Balık</t>
  </si>
  <si>
    <t xml:space="preserve">Yön: Sol</t>
  </si>
  <si>
    <t xml:space="preserve">Filet-O-Fish — Alaska pollock</t>
  </si>
  <si>
    <t xml:space="preserve">Veji</t>
  </si>
  <si>
    <t xml:space="preserve">Yön: Sağ</t>
  </si>
  <si>
    <t xml:space="preserve">McPlant — bitki bazlı köfte</t>
  </si>
  <si>
    <t xml:space="preserve">Marul</t>
  </si>
  <si>
    <t xml:space="preserve">Sayı: 1</t>
  </si>
  <si>
    <t xml:space="preserve">McChicken, Big Mac, McPlant</t>
  </si>
  <si>
    <t xml:space="preserve">Domates</t>
  </si>
  <si>
    <t xml:space="preserve">Sayı: 2</t>
  </si>
  <si>
    <t xml:space="preserve">McPlant, Deluxe hatları</t>
  </si>
  <si>
    <t xml:space="preserve">Turşu</t>
  </si>
  <si>
    <t xml:space="preserve">Sayı: 3</t>
  </si>
  <si>
    <t xml:space="preserve">Quarter Pounder, McCrispy, McPlant</t>
  </si>
  <si>
    <t xml:space="preserve">Soğan</t>
  </si>
  <si>
    <t xml:space="preserve">Sayı: 4</t>
  </si>
  <si>
    <t xml:space="preserve">Quarter Pounder, Big Mac, McPlant</t>
  </si>
  <si>
    <t xml:space="preserve">Peynir (Chedar)</t>
  </si>
  <si>
    <t xml:space="preserve">Sayı: 5</t>
  </si>
  <si>
    <t xml:space="preserve">Quarter Pounder w/ Cheese, Filet-O-Fish, McPlant</t>
  </si>
  <si>
    <t xml:space="preserve">Ketçap</t>
  </si>
  <si>
    <t xml:space="preserve">Renk: Kırmızı</t>
  </si>
  <si>
    <t xml:space="preserve">Quarter Pounder, McPlant</t>
  </si>
  <si>
    <t xml:space="preserve">Hardal</t>
  </si>
  <si>
    <t xml:space="preserve">Renk: Sarı</t>
  </si>
  <si>
    <t xml:space="preserve">Mayonez</t>
  </si>
  <si>
    <t xml:space="preserve">Renk: Beyaz</t>
  </si>
  <si>
    <t xml:space="preserve">McChicken; Filet-O-Fish'te tartar yerine</t>
  </si>
  <si>
    <t xml:space="preserve">Barbekü</t>
  </si>
  <si>
    <t xml:space="preserve">Renk: Kahverengi</t>
  </si>
  <si>
    <t xml:space="preserve">Yaygın fast-food sos seçeneği</t>
  </si>
  <si>
    <t xml:space="preserve">Ekmek</t>
  </si>
  <si>
    <t xml:space="preserve">Standart Ekmek</t>
  </si>
  <si>
    <t xml:space="preserve">Sinyal yok (sabit)</t>
  </si>
  <si>
    <t xml:space="preserve">Tüm ürünlerde var — oyuncu seçimi değil</t>
  </si>
  <si>
    <t xml:space="preserve">Kola</t>
  </si>
  <si>
    <t xml:space="preserve">Şekil: Daire</t>
  </si>
  <si>
    <t xml:space="preserve">Coca-Cola</t>
  </si>
  <si>
    <t xml:space="preserve">Gazoz</t>
  </si>
  <si>
    <t xml:space="preserve">Şekil: Kare</t>
  </si>
  <si>
    <t xml:space="preserve">Sprite</t>
  </si>
  <si>
    <t xml:space="preserve">Portakallı Gazoz</t>
  </si>
  <si>
    <t xml:space="preserve">Şekil: Üçgen</t>
  </si>
  <si>
    <t xml:space="preserve">Fanta Orange</t>
  </si>
  <si>
    <t xml:space="preserve">Limonata</t>
  </si>
  <si>
    <t xml:space="preserve">Şekil: Zigzag</t>
  </si>
  <si>
    <t xml:space="preserve">Lemonade</t>
  </si>
  <si>
    <t xml:space="preserve">Sade</t>
  </si>
  <si>
    <t xml:space="preserve">Vücut: Baş</t>
  </si>
  <si>
    <t xml:space="preserve">Vanilla cone</t>
  </si>
  <si>
    <t xml:space="preserve">Çikolata Parçacıklı</t>
  </si>
  <si>
    <t xml:space="preserve">Vücut: Göğüs</t>
  </si>
  <si>
    <t xml:space="preserve">Chocolate McFlurry</t>
  </si>
  <si>
    <t xml:space="preserve">Renkli Draje Parçacıklı</t>
  </si>
  <si>
    <t xml:space="preserve">Vücut: Karın</t>
  </si>
  <si>
    <t xml:space="preserve">M&amp;M's McFlurry</t>
  </si>
  <si>
    <t xml:space="preserve">Bisküvi Parçacıklı</t>
  </si>
  <si>
    <t xml:space="preserve">Vücut: Bacak</t>
  </si>
  <si>
    <t xml:space="preserve">Oreo McFlurry</t>
  </si>
  <si>
    <t xml:space="preserve">Hamburger Varyantları — Tam Menü</t>
  </si>
  <si>
    <t xml:space="preserve">12 varyant / 4 protein. 1 = malzeme dahil. Sinyal yükü = Kasiyer'in o siparişi iletmek için yapması gereken jest sayısı (GDD §3.6).</t>
  </si>
  <si>
    <t xml:space="preserve">Burger Adı</t>
  </si>
  <si>
    <t xml:space="preserve">Protein</t>
  </si>
  <si>
    <t xml:space="preserve">Marul (1)</t>
  </si>
  <si>
    <t xml:space="preserve">Domates (2)</t>
  </si>
  <si>
    <t xml:space="preserve">Turşu (3)</t>
  </si>
  <si>
    <t xml:space="preserve">Soğan (4)</t>
  </si>
  <si>
    <t xml:space="preserve">Peynir (5)</t>
  </si>
  <si>
    <t xml:space="preserve">Garnitür sayısı</t>
  </si>
  <si>
    <t xml:space="preserve">Sos sayısı</t>
  </si>
  <si>
    <t xml:space="preserve">TOPLAM SİNYAL</t>
  </si>
  <si>
    <t xml:space="preserve">Tek protein aktifken</t>
  </si>
  <si>
    <t xml:space="preserve">Sade Burger</t>
  </si>
  <si>
    <t xml:space="preserve">Et</t>
  </si>
  <si>
    <t xml:space="preserve">Yukarı</t>
  </si>
  <si>
    <t xml:space="preserve">Cheeseburger</t>
  </si>
  <si>
    <t xml:space="preserve">Barbekü Burger</t>
  </si>
  <si>
    <t xml:space="preserve">Deluxe Burger</t>
  </si>
  <si>
    <t xml:space="preserve">Tavuk Burger</t>
  </si>
  <si>
    <t xml:space="preserve">Aşağı</t>
  </si>
  <si>
    <t xml:space="preserve">Barbekü Tavuk</t>
  </si>
  <si>
    <t xml:space="preserve">Tavuk Deluxe</t>
  </si>
  <si>
    <t xml:space="preserve">Balık Burger</t>
  </si>
  <si>
    <t xml:space="preserve">Sol</t>
  </si>
  <si>
    <t xml:space="preserve">Balık Deluxe</t>
  </si>
  <si>
    <t xml:space="preserve">Veji Burger</t>
  </si>
  <si>
    <t xml:space="preserve">Sağ</t>
  </si>
  <si>
    <t xml:space="preserve">Veji Klasik</t>
  </si>
  <si>
    <t xml:space="preserve">Veji Deluxe</t>
  </si>
  <si>
    <t xml:space="preserve">Toplam varyant</t>
  </si>
  <si>
    <t xml:space="preserve">En düşük sinyal</t>
  </si>
  <si>
    <t xml:space="preserve">En yüksek sinyal</t>
  </si>
  <si>
    <t xml:space="preserve">Ortalama sinyal</t>
  </si>
  <si>
    <t xml:space="preserve">'Tek protein aktifken' = erken seviyelerde menüde tek protein varsa yön sinyali gereksizdir, yük 1 azalır.</t>
  </si>
  <si>
    <t xml:space="preserve">Barbekü sosu yalnızca 2 varyantta — renk kanalının 4. slotunu meşgul ediyor ama menüye çeşitlilik katıyor.</t>
  </si>
  <si>
    <t xml:space="preserve">Zorluk Analizi ve Tuzak Çiftleri</t>
  </si>
  <si>
    <t xml:space="preserve">SİNYAL YÜKÜNE GÖRE SIRALAMA</t>
  </si>
  <si>
    <t xml:space="preserve">Burger</t>
  </si>
  <si>
    <t xml:space="preserve">Sinyal</t>
  </si>
  <si>
    <t xml:space="preserve">Zorluk Bandı</t>
  </si>
  <si>
    <t xml:space="preserve">Giriş</t>
  </si>
  <si>
    <t xml:space="preserve">Orta</t>
  </si>
  <si>
    <t xml:space="preserve">İleri</t>
  </si>
  <si>
    <t xml:space="preserve">Zirve</t>
  </si>
  <si>
    <t xml:space="preserve">TUZAK ÇİFTLERİ — en değerli zorluk aracı</t>
  </si>
  <si>
    <t xml:space="preserve">Çift</t>
  </si>
  <si>
    <t xml:space="preserve">Ortak Yanı</t>
  </si>
  <si>
    <t xml:space="preserve">Tek Fark</t>
  </si>
  <si>
    <t xml:space="preserve">Neden Değerli</t>
  </si>
  <si>
    <t xml:space="preserve">Deluxe Burger ↔ Veji Deluxe</t>
  </si>
  <si>
    <t xml:space="preserve">Garnitür ve sos setleri BİREBİR AYNI (5 garnitür + ketçap/mayonez)</t>
  </si>
  <si>
    <t xml:space="preserve">Sadece yön sinyali (Yukarı ↔ Sağ)</t>
  </si>
  <si>
    <t xml:space="preserve">8 sinyalin tamamı aynı; tüm sipariş tek bir yön jestine bağlı. Yön yanlış okunursa 8 jestlik emek boşa gidiyor.</t>
  </si>
  <si>
    <t xml:space="preserve">Cheeseburger ↔ Veji Klasik</t>
  </si>
  <si>
    <t xml:space="preserve">Garnitür ve sos setleri BİREBİR AYNI (turşu/soğan/peynir + ketçap/hardal)</t>
  </si>
  <si>
    <t xml:space="preserve">Aynı mantık, daha düşük yükte (6 sinyal) — tuzak mekaniğini öğretmek için ideal, ilk tanıtım burada yapılmalı.</t>
  </si>
  <si>
    <t xml:space="preserve">Barbekü Burger ↔ Barbekü Tavuk</t>
  </si>
  <si>
    <t xml:space="preserve">İkisi de barbekü sos + peynir + soğan</t>
  </si>
  <si>
    <t xml:space="preserve">Yön + marul (Et'te var, Tavuk'ta yok)</t>
  </si>
  <si>
    <t xml:space="preserve">Yarı-tuzak: hem yön hem tek bir garnitür farkı var. Dikkat dağınıklığında en sık karışacak çift.</t>
  </si>
  <si>
    <t xml:space="preserve">Tuzak çifti = iki farklı ürünün neredeyse aynı sinyal dizisine sahip olması. Hata payını sıfıra indirdiği için</t>
  </si>
  <si>
    <t xml:space="preserve">ileri seviyelerde aynı roundda birlikte sipariş edilmeleri, malzeme sayısını artırmadan ciddi zorluk yaratır.</t>
  </si>
  <si>
    <t xml:space="preserve">Önerilen Menü Açılış Sırası (20 Seviyeye Yayılacak)</t>
  </si>
  <si>
    <t xml:space="preserve">İlke: her aşama tek bir yeni zorluk türü eklemeli (GDD §6.4).</t>
  </si>
  <si>
    <t xml:space="preserve">Aşama</t>
  </si>
  <si>
    <t xml:space="preserve">Eklenen İçerik</t>
  </si>
  <si>
    <t xml:space="preserve">Yeni Zorluk Türü</t>
  </si>
  <si>
    <t xml:space="preserve">Gerekçe</t>
  </si>
  <si>
    <t xml:space="preserve">1</t>
  </si>
  <si>
    <t xml:space="preserve">Zincirin kendisi</t>
  </si>
  <si>
    <t xml:space="preserve">2</t>
  </si>
  <si>
    <t xml:space="preserve">Tek protein varken yön sinyali gereksiz; sadece 1 garnitür + 1 sos. Tutorial için ideal.</t>
  </si>
  <si>
    <t xml:space="preserve">Garnitür eksiltme (randomize)</t>
  </si>
  <si>
    <t xml:space="preserve">İstisna / eksik malzeme iletme</t>
  </si>
  <si>
    <t xml:space="preserve">1-2</t>
  </si>
  <si>
    <t xml:space="preserve">Sayı kanalı ilk kez anlamlı hale geliyor, hâlâ tek protein.</t>
  </si>
  <si>
    <t xml:space="preserve">3</t>
  </si>
  <si>
    <t xml:space="preserve">Cheeseburger + Barbekü Burger</t>
  </si>
  <si>
    <t xml:space="preserve">Çoklu garnitür + renk kanalı</t>
  </si>
  <si>
    <t xml:space="preserve">5-6</t>
  </si>
  <si>
    <t xml:space="preserve">Sayı ve renk kanalları aynı anda yükleniyor; hâlâ tek protein, yön sessiz.</t>
  </si>
  <si>
    <t xml:space="preserve">4</t>
  </si>
  <si>
    <t xml:space="preserve">YÖN kanalı ilk kez anlamlı</t>
  </si>
  <si>
    <t xml:space="preserve">Tavuk'un en sade varyantı seçildi — yeni kanalı öğrenmek izole ediliyor.</t>
  </si>
  <si>
    <t xml:space="preserve">5</t>
  </si>
  <si>
    <t xml:space="preserve">Tavuk Deluxe + Barbekü Tavuk</t>
  </si>
  <si>
    <t xml:space="preserve">İlk yarı-tuzak çifti</t>
  </si>
  <si>
    <t xml:space="preserve">4-5</t>
  </si>
  <si>
    <t xml:space="preserve">Barbekü Burger ↔ Barbekü Tavuk karışması burada devreye giriyor.</t>
  </si>
  <si>
    <t xml:space="preserve">6</t>
  </si>
  <si>
    <t xml:space="preserve">Balık Burger + Balık Deluxe</t>
  </si>
  <si>
    <t xml:space="preserve">3 yön arasında ayrım</t>
  </si>
  <si>
    <t xml:space="preserve">3-6</t>
  </si>
  <si>
    <t xml:space="preserve">Yön kanalı genişliyor; Balık sade olduğu için malzeme yükü dengeli.</t>
  </si>
  <si>
    <t xml:space="preserve">7</t>
  </si>
  <si>
    <t xml:space="preserve">Veji Burger + Veji Klasik</t>
  </si>
  <si>
    <t xml:space="preserve">TUZAK ÇİFTİ tanıtımı</t>
  </si>
  <si>
    <t xml:space="preserve">4-6</t>
  </si>
  <si>
    <t xml:space="preserve">Veji Klasik ↔ Cheeseburger birebir aynı; tuzak mekaniği burada öğretiliyor.</t>
  </si>
  <si>
    <t xml:space="preserve">8</t>
  </si>
  <si>
    <t xml:space="preserve">Deluxe Burger + Veji Deluxe</t>
  </si>
  <si>
    <t xml:space="preserve">Zirve tuzak + maksimum yük</t>
  </si>
  <si>
    <t xml:space="preserve">Menünün zirvesi: 8 sinyal, tamamı tek bir yön jestine bağlı.</t>
  </si>
  <si>
    <t xml:space="preserve">9</t>
  </si>
  <si>
    <t xml:space="preserve">ŞEKİL kanalı devreye giriyor</t>
  </si>
  <si>
    <t xml:space="preserve">+1</t>
  </si>
  <si>
    <t xml:space="preserve">Yeni kanal türü, mevcutlarla karışmıyor.</t>
  </si>
  <si>
    <t xml:space="preserve">10</t>
  </si>
  <si>
    <t xml:space="preserve">VÜCUT BÖLGESİ kanalı devreye giriyor</t>
  </si>
  <si>
    <t xml:space="preserve">Son kanal; artık 5 kanal da aktif.</t>
  </si>
  <si>
    <t xml:space="preserve">11</t>
  </si>
  <si>
    <t xml:space="preserve">Patates / Ekstra</t>
  </si>
  <si>
    <t xml:space="preserve">Şef'in fritöz yükü + israf riski</t>
  </si>
  <si>
    <t xml:space="preserve">İletişim değil, Şef'in zaman yönetimi zorlaşıyor (GDD §5.2).</t>
  </si>
  <si>
    <t xml:space="preserve">'Aşama' seviye numarası değil — 20 seviye bu 11 aşamaya dağıtılacak, aralara pekiştirme seviyeleri girecek.</t>
  </si>
  <si>
    <t xml:space="preserve">Karar Bekleyen Konular</t>
  </si>
  <si>
    <t xml:space="preserve">Sarı satırlar = Ersel'in onayı gerekiyor.</t>
  </si>
  <si>
    <t xml:space="preserve">Konu</t>
  </si>
  <si>
    <t xml:space="preserve">Önerim</t>
  </si>
  <si>
    <t xml:space="preserve">12 varyant yeterli mi?</t>
  </si>
  <si>
    <t xml:space="preserve">Yeterli — 4 Et / 3 Tavuk / 2 Balık / 3 Veji</t>
  </si>
  <si>
    <t xml:space="preserve">20 seviyeye dağıtılınca aşama başına ~1-2 yeni varyant düşüyor. Daha fazlası, her varyantın oyuncuda iz bırakmasına engel olur; daha azı 20 seviyeyi dolduramaz.</t>
  </si>
  <si>
    <t xml:space="preserve">Balık neden sadece 2 varyant?</t>
  </si>
  <si>
    <t xml:space="preserve">Öyle kalsın</t>
  </si>
  <si>
    <t xml:space="preserve">Gerçek fast-food menülerinde de balık hattı en dar olanı (Filet-O-Fish tek ürün). Ayrıca Balık 'sol' yönünde ve sade kalması yön kanalını öğretmeyi kolaylaştırıyor.</t>
  </si>
  <si>
    <t xml:space="preserve">Bir siparişte kaç sos olabilir?</t>
  </si>
  <si>
    <t xml:space="preserve">Maksimum 2</t>
  </si>
  <si>
    <t xml:space="preserve">Gerçek McPlant'te 3 sos var ama 3'e izin verirsek Deluxe hattı 9 sinyale çıkıyor ve tek sipariş tempoyu kırıyor.</t>
  </si>
  <si>
    <t xml:space="preserve">Tuzak çiftleri bilinçli mi tasarlansın?</t>
  </si>
  <si>
    <t xml:space="preserve">Evet — en değerli zorluk aracı</t>
  </si>
  <si>
    <t xml:space="preserve">Malzeme sayısını artırmadan zorluk yaratmanın tek dürüst yolu. İki çift birebir aynı (Deluxe ve Klasik hatları), farkı sadece yön sinyali.</t>
  </si>
  <si>
    <t xml:space="preserve">Varyant isimleri kesin mi?</t>
  </si>
  <si>
    <t xml:space="preserve">Yer tutucu — değiştirilebilir</t>
  </si>
  <si>
    <t xml:space="preserve">İsimler sadece level tasarımı için etiket; oyun içinde hiçbir yerde oyuncuya isim olarak gösterilmiyor (GDD §3.6 — tarif adı iletişimde yer almaz).</t>
  </si>
  <si>
    <t xml:space="preserve">Garnitür kanalında 1 slot boş</t>
  </si>
  <si>
    <t xml:space="preserve">Şimdilik boş kalsın</t>
  </si>
  <si>
    <t xml:space="preserve">6. bir garnitür (ör. jalapeno, bacon) ileride bir 'genişleme paketi' olarak eklenebilir. Şimdiden doldurmak MVP kapsamını gereksiz büyütür.</t>
  </si>
  <si>
    <t xml:space="preserve">Kaynaklar</t>
  </si>
  <si>
    <t xml:space="preserve">Malzeme setleri ve varyant mantığı bu gerçek ürün yapılarından türetildi.</t>
  </si>
  <si>
    <t xml:space="preserve">Ürün</t>
  </si>
  <si>
    <t xml:space="preserve">URL</t>
  </si>
  <si>
    <t xml:space="preserve">Quarter Pounder with Cheese (Et hattı)</t>
  </si>
  <si>
    <t xml:space="preserve">https://www.mcdonalds.com/us/en-us/product/quarter-pounder-with-cheese.html</t>
  </si>
  <si>
    <t xml:space="preserve">Filet-O-Fish (Balık hattı)</t>
  </si>
  <si>
    <t xml:space="preserve">https://www.mcdonalds.com/us/en-us/product/filet-o-fish.html</t>
  </si>
  <si>
    <t xml:space="preserve">McPlant (Veji hattı)</t>
  </si>
  <si>
    <t xml:space="preserve">https://www.mcdonalds.com/us/en-us/product/mcplant.html</t>
  </si>
  <si>
    <t xml:space="preserve">McChicken (Tavuk hattı)</t>
  </si>
  <si>
    <t xml:space="preserve">https://en.wikipedia.org/wiki/McChicken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</si>
</sst>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1E8449"/>
        <bgColor rgb="FF008080"/>
      </patternFill>
    </fill>
    <fill>
      <patternFill patternType="solid">
        <fgColor rgb="FFB7950B"/>
        <bgColor rgb="FFFF9900"/>
      </patternFill>
    </fill>
    <fill>
      <patternFill patternType="solid">
        <fgColor rgb="FF34495E"/>
        <bgColor rgb="FF333399"/>
      </patternFill>
    </fill>
    <fill>
      <patternFill patternType="solid">
        <fgColor rgb="FFFDEDEC"/>
        <bgColor rgb="FFFEF9E7"/>
      </patternFill>
    </fill>
    <fill>
      <patternFill patternType="solid">
        <fgColor rgb="FFFCF3CF"/>
        <bgColor rgb="FFFFF2CC"/>
      </patternFill>
    </fill>
    <fill>
      <patternFill patternType="solid">
        <fgColor rgb="FFFEF9E7"/>
        <bgColor rgb="FFFFFFFF"/>
      </patternFill>
    </fill>
    <fill>
      <patternFill patternType="solid">
        <fgColor rgb="FFEBF5FB"/>
        <bgColor rgb="FFEAFAF1"/>
      </patternFill>
    </fill>
    <fill>
      <patternFill patternType="solid">
        <fgColor rgb="FFEAFAF1"/>
        <bgColor rgb="FFEBF5FB"/>
      </patternFill>
    </fill>
    <fill>
      <patternFill patternType="solid">
        <fgColor rgb="FFFADBD8"/>
        <bgColor rgb="FFFDEDEC"/>
      </patternFill>
    </fill>
    <fill>
      <patternFill patternType="solid">
        <fgColor rgb="FFFFF2CC"/>
        <bgColor rgb="FFFCF3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BBBBBB"/>
      <rgbColor rgb="FF808080"/>
      <rgbColor rgb="FF9999FF"/>
      <rgbColor rgb="FF993366"/>
      <rgbColor rgb="FFFCF3CF"/>
      <rgbColor rgb="FFEAFAF1"/>
      <rgbColor rgb="FF660066"/>
      <rgbColor rgb="FFFF8080"/>
      <rgbColor rgb="FF0563C1"/>
      <rgbColor rgb="FFFDED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EF9E7"/>
      <rgbColor rgb="FFFFF2CC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3449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mcdonalds.com/us/en-us/product/quarter-pounder-with-cheese.html" TargetMode="External"/><Relationship Id="rId2" Type="http://schemas.openxmlformats.org/officeDocument/2006/relationships/hyperlink" Target="https://www.mcdonalds.com/us/en-us/product/filet-o-fish.html" TargetMode="External"/><Relationship Id="rId3" Type="http://schemas.openxmlformats.org/officeDocument/2006/relationships/hyperlink" Target="https://www.mcdonalds.com/us/en-us/product/mcplant.html" TargetMode="External"/><Relationship Id="rId4" Type="http://schemas.openxmlformats.org/officeDocument/2006/relationships/hyperlink" Target="https://en.wikipedia.org/wiki/McChicke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6" t="n">
        <v>4</v>
      </c>
      <c r="E5" s="6" t="n">
        <v>4</v>
      </c>
      <c r="F5" s="5" t="s">
        <v>11</v>
      </c>
    </row>
    <row r="6" customFormat="false" ht="15" hidden="false" customHeight="false" outlineLevel="0" collapsed="false">
      <c r="A6" s="4" t="s">
        <v>12</v>
      </c>
      <c r="B6" s="5" t="s">
        <v>13</v>
      </c>
      <c r="C6" s="5" t="s">
        <v>14</v>
      </c>
      <c r="D6" s="6" t="n">
        <v>6</v>
      </c>
      <c r="E6" s="6" t="n">
        <v>5</v>
      </c>
      <c r="F6" s="5" t="s">
        <v>15</v>
      </c>
    </row>
    <row r="7" customFormat="false" ht="15" hidden="false" customHeight="false" outlineLevel="0" collapsed="false">
      <c r="A7" s="4" t="s">
        <v>16</v>
      </c>
      <c r="B7" s="5" t="s">
        <v>17</v>
      </c>
      <c r="C7" s="5" t="s">
        <v>18</v>
      </c>
      <c r="D7" s="6" t="n">
        <v>5</v>
      </c>
      <c r="E7" s="6" t="n">
        <v>4</v>
      </c>
      <c r="F7" s="5" t="s">
        <v>19</v>
      </c>
    </row>
    <row r="8" customFormat="false" ht="15" hidden="false" customHeight="false" outlineLevel="0" collapsed="false">
      <c r="A8" s="4" t="s">
        <v>20</v>
      </c>
      <c r="B8" s="5" t="s">
        <v>21</v>
      </c>
      <c r="C8" s="5" t="s">
        <v>22</v>
      </c>
      <c r="D8" s="6" t="n">
        <v>5</v>
      </c>
      <c r="E8" s="6" t="n">
        <v>4</v>
      </c>
      <c r="F8" s="5" t="s">
        <v>11</v>
      </c>
    </row>
    <row r="9" customFormat="false" ht="15" hidden="false" customHeight="false" outlineLevel="0" collapsed="false">
      <c r="A9" s="4" t="s">
        <v>23</v>
      </c>
      <c r="B9" s="5" t="s">
        <v>24</v>
      </c>
      <c r="C9" s="5" t="s">
        <v>25</v>
      </c>
      <c r="D9" s="6" t="n">
        <v>6</v>
      </c>
      <c r="E9" s="6" t="n">
        <v>4</v>
      </c>
      <c r="F9" s="5" t="s">
        <v>11</v>
      </c>
    </row>
    <row r="11" customFormat="false" ht="15" hidden="false" customHeight="false" outlineLevel="0" collapsed="false">
      <c r="A11" s="7" t="s">
        <v>26</v>
      </c>
    </row>
    <row r="12" customFormat="false" ht="15" hidden="false" customHeight="false" outlineLevel="0" collapsed="false">
      <c r="A12" s="8" t="s">
        <v>27</v>
      </c>
    </row>
    <row r="13" customFormat="false" ht="15" hidden="false" customHeight="false" outlineLevel="0" collapsed="false">
      <c r="A13" s="8" t="s">
        <v>28</v>
      </c>
    </row>
    <row r="14" customFormat="false" ht="15" hidden="false" customHeight="false" outlineLevel="0" collapsed="false">
      <c r="A14" s="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3" t="s">
        <v>32</v>
      </c>
      <c r="B4" s="3" t="s">
        <v>2</v>
      </c>
      <c r="C4" s="3" t="s">
        <v>33</v>
      </c>
      <c r="D4" s="3" t="s">
        <v>34</v>
      </c>
      <c r="E4" s="3" t="s">
        <v>35</v>
      </c>
    </row>
    <row r="5" customFormat="false" ht="15" hidden="false" customHeight="false" outlineLevel="0" collapsed="false">
      <c r="A5" s="6" t="n">
        <v>1</v>
      </c>
      <c r="B5" s="5" t="s">
        <v>8</v>
      </c>
      <c r="C5" s="4" t="s">
        <v>36</v>
      </c>
      <c r="D5" s="5" t="s">
        <v>37</v>
      </c>
      <c r="E5" s="5" t="s">
        <v>38</v>
      </c>
    </row>
    <row r="6" customFormat="false" ht="15" hidden="false" customHeight="false" outlineLevel="0" collapsed="false">
      <c r="A6" s="6" t="n">
        <v>2</v>
      </c>
      <c r="B6" s="5" t="s">
        <v>8</v>
      </c>
      <c r="C6" s="4" t="s">
        <v>39</v>
      </c>
      <c r="D6" s="5" t="s">
        <v>40</v>
      </c>
      <c r="E6" s="5" t="s">
        <v>41</v>
      </c>
    </row>
    <row r="7" customFormat="false" ht="15" hidden="false" customHeight="false" outlineLevel="0" collapsed="false">
      <c r="A7" s="6" t="n">
        <v>3</v>
      </c>
      <c r="B7" s="5" t="s">
        <v>8</v>
      </c>
      <c r="C7" s="4" t="s">
        <v>42</v>
      </c>
      <c r="D7" s="5" t="s">
        <v>43</v>
      </c>
      <c r="E7" s="5" t="s">
        <v>44</v>
      </c>
    </row>
    <row r="8" customFormat="false" ht="15" hidden="false" customHeight="false" outlineLevel="0" collapsed="false">
      <c r="A8" s="6" t="n">
        <v>4</v>
      </c>
      <c r="B8" s="5" t="s">
        <v>8</v>
      </c>
      <c r="C8" s="4" t="s">
        <v>45</v>
      </c>
      <c r="D8" s="5" t="s">
        <v>46</v>
      </c>
      <c r="E8" s="5" t="s">
        <v>47</v>
      </c>
    </row>
    <row r="9" customFormat="false" ht="15" hidden="false" customHeight="false" outlineLevel="0" collapsed="false">
      <c r="A9" s="6" t="n">
        <v>5</v>
      </c>
      <c r="B9" s="5" t="s">
        <v>12</v>
      </c>
      <c r="C9" s="4" t="s">
        <v>48</v>
      </c>
      <c r="D9" s="5" t="s">
        <v>49</v>
      </c>
      <c r="E9" s="5" t="s">
        <v>50</v>
      </c>
    </row>
    <row r="10" customFormat="false" ht="15" hidden="false" customHeight="false" outlineLevel="0" collapsed="false">
      <c r="A10" s="6" t="n">
        <v>6</v>
      </c>
      <c r="B10" s="5" t="s">
        <v>12</v>
      </c>
      <c r="C10" s="4" t="s">
        <v>51</v>
      </c>
      <c r="D10" s="5" t="s">
        <v>52</v>
      </c>
      <c r="E10" s="5" t="s">
        <v>53</v>
      </c>
    </row>
    <row r="11" customFormat="false" ht="15" hidden="false" customHeight="false" outlineLevel="0" collapsed="false">
      <c r="A11" s="6" t="n">
        <v>7</v>
      </c>
      <c r="B11" s="5" t="s">
        <v>12</v>
      </c>
      <c r="C11" s="4" t="s">
        <v>54</v>
      </c>
      <c r="D11" s="5" t="s">
        <v>55</v>
      </c>
      <c r="E11" s="5" t="s">
        <v>56</v>
      </c>
    </row>
    <row r="12" customFormat="false" ht="15" hidden="false" customHeight="false" outlineLevel="0" collapsed="false">
      <c r="A12" s="6" t="n">
        <v>8</v>
      </c>
      <c r="B12" s="5" t="s">
        <v>12</v>
      </c>
      <c r="C12" s="4" t="s">
        <v>57</v>
      </c>
      <c r="D12" s="5" t="s">
        <v>58</v>
      </c>
      <c r="E12" s="5" t="s">
        <v>59</v>
      </c>
    </row>
    <row r="13" customFormat="false" ht="15" hidden="false" customHeight="false" outlineLevel="0" collapsed="false">
      <c r="A13" s="6" t="n">
        <v>9</v>
      </c>
      <c r="B13" s="5" t="s">
        <v>12</v>
      </c>
      <c r="C13" s="4" t="s">
        <v>60</v>
      </c>
      <c r="D13" s="5" t="s">
        <v>61</v>
      </c>
      <c r="E13" s="5" t="s">
        <v>62</v>
      </c>
    </row>
    <row r="14" customFormat="false" ht="15" hidden="false" customHeight="false" outlineLevel="0" collapsed="false">
      <c r="A14" s="6" t="n">
        <v>10</v>
      </c>
      <c r="B14" s="5" t="s">
        <v>16</v>
      </c>
      <c r="C14" s="4" t="s">
        <v>63</v>
      </c>
      <c r="D14" s="5" t="s">
        <v>64</v>
      </c>
      <c r="E14" s="5" t="s">
        <v>65</v>
      </c>
    </row>
    <row r="15" customFormat="false" ht="15" hidden="false" customHeight="false" outlineLevel="0" collapsed="false">
      <c r="A15" s="6" t="n">
        <v>11</v>
      </c>
      <c r="B15" s="5" t="s">
        <v>16</v>
      </c>
      <c r="C15" s="4" t="s">
        <v>66</v>
      </c>
      <c r="D15" s="5" t="s">
        <v>67</v>
      </c>
      <c r="E15" s="5" t="s">
        <v>65</v>
      </c>
    </row>
    <row r="16" customFormat="false" ht="15" hidden="false" customHeight="false" outlineLevel="0" collapsed="false">
      <c r="A16" s="6" t="n">
        <v>12</v>
      </c>
      <c r="B16" s="5" t="s">
        <v>16</v>
      </c>
      <c r="C16" s="4" t="s">
        <v>68</v>
      </c>
      <c r="D16" s="5" t="s">
        <v>69</v>
      </c>
      <c r="E16" s="5" t="s">
        <v>70</v>
      </c>
    </row>
    <row r="17" customFormat="false" ht="15" hidden="false" customHeight="false" outlineLevel="0" collapsed="false">
      <c r="A17" s="6" t="n">
        <v>13</v>
      </c>
      <c r="B17" s="5" t="s">
        <v>16</v>
      </c>
      <c r="C17" s="4" t="s">
        <v>71</v>
      </c>
      <c r="D17" s="5" t="s">
        <v>72</v>
      </c>
      <c r="E17" s="5" t="s">
        <v>73</v>
      </c>
    </row>
    <row r="18" customFormat="false" ht="15" hidden="false" customHeight="false" outlineLevel="0" collapsed="false">
      <c r="A18" s="6" t="n">
        <v>14</v>
      </c>
      <c r="B18" s="5" t="s">
        <v>74</v>
      </c>
      <c r="C18" s="4" t="s">
        <v>75</v>
      </c>
      <c r="D18" s="5" t="s">
        <v>76</v>
      </c>
      <c r="E18" s="5" t="s">
        <v>77</v>
      </c>
    </row>
    <row r="19" customFormat="false" ht="15" hidden="false" customHeight="false" outlineLevel="0" collapsed="false">
      <c r="A19" s="6" t="n">
        <v>15</v>
      </c>
      <c r="B19" s="5" t="s">
        <v>20</v>
      </c>
      <c r="C19" s="4" t="s">
        <v>78</v>
      </c>
      <c r="D19" s="5" t="s">
        <v>79</v>
      </c>
      <c r="E19" s="5" t="s">
        <v>80</v>
      </c>
    </row>
    <row r="20" customFormat="false" ht="15" hidden="false" customHeight="false" outlineLevel="0" collapsed="false">
      <c r="A20" s="6" t="n">
        <v>16</v>
      </c>
      <c r="B20" s="5" t="s">
        <v>20</v>
      </c>
      <c r="C20" s="4" t="s">
        <v>81</v>
      </c>
      <c r="D20" s="5" t="s">
        <v>82</v>
      </c>
      <c r="E20" s="5" t="s">
        <v>83</v>
      </c>
    </row>
    <row r="21" customFormat="false" ht="15" hidden="false" customHeight="false" outlineLevel="0" collapsed="false">
      <c r="A21" s="6" t="n">
        <v>17</v>
      </c>
      <c r="B21" s="5" t="s">
        <v>20</v>
      </c>
      <c r="C21" s="4" t="s">
        <v>84</v>
      </c>
      <c r="D21" s="5" t="s">
        <v>85</v>
      </c>
      <c r="E21" s="5" t="s">
        <v>86</v>
      </c>
    </row>
    <row r="22" customFormat="false" ht="15" hidden="false" customHeight="false" outlineLevel="0" collapsed="false">
      <c r="A22" s="6" t="n">
        <v>18</v>
      </c>
      <c r="B22" s="5" t="s">
        <v>20</v>
      </c>
      <c r="C22" s="4" t="s">
        <v>87</v>
      </c>
      <c r="D22" s="5" t="s">
        <v>88</v>
      </c>
      <c r="E22" s="5" t="s">
        <v>89</v>
      </c>
    </row>
    <row r="23" customFormat="false" ht="15" hidden="false" customHeight="false" outlineLevel="0" collapsed="false">
      <c r="A23" s="6" t="n">
        <v>19</v>
      </c>
      <c r="B23" s="5" t="s">
        <v>23</v>
      </c>
      <c r="C23" s="4" t="s">
        <v>90</v>
      </c>
      <c r="D23" s="5" t="s">
        <v>91</v>
      </c>
      <c r="E23" s="5" t="s">
        <v>92</v>
      </c>
    </row>
    <row r="24" customFormat="false" ht="15" hidden="false" customHeight="false" outlineLevel="0" collapsed="false">
      <c r="A24" s="6" t="n">
        <v>20</v>
      </c>
      <c r="B24" s="5" t="s">
        <v>23</v>
      </c>
      <c r="C24" s="4" t="s">
        <v>93</v>
      </c>
      <c r="D24" s="5" t="s">
        <v>94</v>
      </c>
      <c r="E24" s="5" t="s">
        <v>95</v>
      </c>
    </row>
    <row r="25" customFormat="false" ht="15" hidden="false" customHeight="false" outlineLevel="0" collapsed="false">
      <c r="A25" s="6" t="n">
        <v>21</v>
      </c>
      <c r="B25" s="5" t="s">
        <v>23</v>
      </c>
      <c r="C25" s="4" t="s">
        <v>96</v>
      </c>
      <c r="D25" s="5" t="s">
        <v>97</v>
      </c>
      <c r="E25" s="5" t="s">
        <v>98</v>
      </c>
    </row>
    <row r="26" customFormat="false" ht="15" hidden="false" customHeight="false" outlineLevel="0" collapsed="false">
      <c r="A26" s="6" t="n">
        <v>22</v>
      </c>
      <c r="B26" s="5" t="s">
        <v>23</v>
      </c>
      <c r="C26" s="4" t="s">
        <v>99</v>
      </c>
      <c r="D26" s="5" t="s">
        <v>100</v>
      </c>
      <c r="E26" s="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12" min="4" style="0" width="5.51"/>
    <col collapsed="false" customWidth="true" hidden="false" outlineLevel="0" max="16" min="13" style="0" width="6.51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4" customFormat="false" ht="96" hidden="false" customHeight="true" outlineLevel="0" collapsed="false">
      <c r="A4" s="3" t="s">
        <v>104</v>
      </c>
      <c r="B4" s="3" t="s">
        <v>105</v>
      </c>
      <c r="C4" s="3" t="s">
        <v>9</v>
      </c>
      <c r="D4" s="9" t="s">
        <v>106</v>
      </c>
      <c r="E4" s="9" t="s">
        <v>107</v>
      </c>
      <c r="F4" s="9" t="s">
        <v>108</v>
      </c>
      <c r="G4" s="9" t="s">
        <v>109</v>
      </c>
      <c r="H4" s="9" t="s">
        <v>110</v>
      </c>
      <c r="I4" s="10" t="s">
        <v>63</v>
      </c>
      <c r="J4" s="10" t="s">
        <v>66</v>
      </c>
      <c r="K4" s="10" t="s">
        <v>68</v>
      </c>
      <c r="L4" s="10" t="s">
        <v>71</v>
      </c>
      <c r="M4" s="11" t="s">
        <v>111</v>
      </c>
      <c r="N4" s="11" t="s">
        <v>112</v>
      </c>
      <c r="O4" s="11" t="s">
        <v>113</v>
      </c>
      <c r="P4" s="11" t="s">
        <v>114</v>
      </c>
    </row>
    <row r="5" customFormat="false" ht="15" hidden="false" customHeight="false" outlineLevel="0" collapsed="false">
      <c r="A5" s="12" t="s">
        <v>115</v>
      </c>
      <c r="B5" s="13" t="s">
        <v>116</v>
      </c>
      <c r="C5" s="13" t="s">
        <v>117</v>
      </c>
      <c r="D5" s="6" t="n">
        <v>0</v>
      </c>
      <c r="E5" s="6" t="n">
        <v>0</v>
      </c>
      <c r="F5" s="6" t="n">
        <v>1</v>
      </c>
      <c r="G5" s="6" t="n">
        <v>0</v>
      </c>
      <c r="H5" s="6" t="n">
        <v>0</v>
      </c>
      <c r="I5" s="6" t="n">
        <v>1</v>
      </c>
      <c r="J5" s="6" t="n">
        <v>0</v>
      </c>
      <c r="K5" s="6" t="n">
        <v>0</v>
      </c>
      <c r="L5" s="6" t="n">
        <v>0</v>
      </c>
      <c r="M5" s="14" t="n">
        <f aca="false">SUM(D5:H5)</f>
        <v>1</v>
      </c>
      <c r="N5" s="14" t="n">
        <f aca="false">SUM(I5:L5)</f>
        <v>1</v>
      </c>
      <c r="O5" s="15" t="n">
        <f aca="false">1+M5+N5</f>
        <v>3</v>
      </c>
      <c r="P5" s="14" t="n">
        <f aca="false">O5-1</f>
        <v>2</v>
      </c>
    </row>
    <row r="6" customFormat="false" ht="15" hidden="false" customHeight="false" outlineLevel="0" collapsed="false">
      <c r="A6" s="12" t="s">
        <v>118</v>
      </c>
      <c r="B6" s="13" t="s">
        <v>116</v>
      </c>
      <c r="C6" s="13" t="s">
        <v>117</v>
      </c>
      <c r="D6" s="6" t="n">
        <v>0</v>
      </c>
      <c r="E6" s="6" t="n">
        <v>0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0</v>
      </c>
      <c r="L6" s="6" t="n">
        <v>0</v>
      </c>
      <c r="M6" s="14" t="n">
        <f aca="false">SUM(D6:H6)</f>
        <v>3</v>
      </c>
      <c r="N6" s="14" t="n">
        <f aca="false">SUM(I6:L6)</f>
        <v>2</v>
      </c>
      <c r="O6" s="15" t="n">
        <f aca="false">1+M6+N6</f>
        <v>6</v>
      </c>
      <c r="P6" s="14" t="n">
        <f aca="false">O6-1</f>
        <v>5</v>
      </c>
    </row>
    <row r="7" customFormat="false" ht="15" hidden="false" customHeight="false" outlineLevel="0" collapsed="false">
      <c r="A7" s="12" t="s">
        <v>119</v>
      </c>
      <c r="B7" s="13" t="s">
        <v>116</v>
      </c>
      <c r="C7" s="13" t="s">
        <v>117</v>
      </c>
      <c r="D7" s="6" t="n">
        <v>1</v>
      </c>
      <c r="E7" s="6" t="n">
        <v>0</v>
      </c>
      <c r="F7" s="6" t="n">
        <v>0</v>
      </c>
      <c r="G7" s="6" t="n">
        <v>1</v>
      </c>
      <c r="H7" s="6" t="n">
        <v>1</v>
      </c>
      <c r="I7" s="6" t="n">
        <v>0</v>
      </c>
      <c r="J7" s="6" t="n">
        <v>0</v>
      </c>
      <c r="K7" s="6" t="n">
        <v>0</v>
      </c>
      <c r="L7" s="6" t="n">
        <v>1</v>
      </c>
      <c r="M7" s="14" t="n">
        <f aca="false">SUM(D7:H7)</f>
        <v>3</v>
      </c>
      <c r="N7" s="14" t="n">
        <f aca="false">SUM(I7:L7)</f>
        <v>1</v>
      </c>
      <c r="O7" s="15" t="n">
        <f aca="false">1+M7+N7</f>
        <v>5</v>
      </c>
      <c r="P7" s="14" t="n">
        <f aca="false">O7-1</f>
        <v>4</v>
      </c>
    </row>
    <row r="8" customFormat="false" ht="15" hidden="false" customHeight="false" outlineLevel="0" collapsed="false">
      <c r="A8" s="12" t="s">
        <v>120</v>
      </c>
      <c r="B8" s="13" t="s">
        <v>116</v>
      </c>
      <c r="C8" s="13" t="s">
        <v>117</v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1</v>
      </c>
      <c r="I8" s="6" t="n">
        <v>1</v>
      </c>
      <c r="J8" s="6" t="n">
        <v>0</v>
      </c>
      <c r="K8" s="6" t="n">
        <v>1</v>
      </c>
      <c r="L8" s="6" t="n">
        <v>0</v>
      </c>
      <c r="M8" s="14" t="n">
        <f aca="false">SUM(D8:H8)</f>
        <v>5</v>
      </c>
      <c r="N8" s="14" t="n">
        <f aca="false">SUM(I8:L8)</f>
        <v>2</v>
      </c>
      <c r="O8" s="15" t="n">
        <f aca="false">1+M8+N8</f>
        <v>8</v>
      </c>
      <c r="P8" s="14" t="n">
        <f aca="false">O8-1</f>
        <v>7</v>
      </c>
    </row>
    <row r="9" customFormat="false" ht="15" hidden="false" customHeight="false" outlineLevel="0" collapsed="false">
      <c r="A9" s="16" t="s">
        <v>121</v>
      </c>
      <c r="B9" s="17" t="s">
        <v>39</v>
      </c>
      <c r="C9" s="17" t="s">
        <v>122</v>
      </c>
      <c r="D9" s="6" t="n">
        <v>1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1</v>
      </c>
      <c r="L9" s="6" t="n">
        <v>0</v>
      </c>
      <c r="M9" s="14" t="n">
        <f aca="false">SUM(D9:H9)</f>
        <v>1</v>
      </c>
      <c r="N9" s="14" t="n">
        <f aca="false">SUM(I9:L9)</f>
        <v>1</v>
      </c>
      <c r="O9" s="15" t="n">
        <f aca="false">1+M9+N9</f>
        <v>3</v>
      </c>
      <c r="P9" s="14" t="n">
        <f aca="false">O9-1</f>
        <v>2</v>
      </c>
    </row>
    <row r="10" customFormat="false" ht="15" hidden="false" customHeight="false" outlineLevel="0" collapsed="false">
      <c r="A10" s="16" t="s">
        <v>123</v>
      </c>
      <c r="B10" s="17" t="s">
        <v>39</v>
      </c>
      <c r="C10" s="17" t="s">
        <v>122</v>
      </c>
      <c r="D10" s="6" t="n">
        <v>0</v>
      </c>
      <c r="E10" s="6" t="n">
        <v>0</v>
      </c>
      <c r="F10" s="6" t="n">
        <v>0</v>
      </c>
      <c r="G10" s="6" t="n">
        <v>1</v>
      </c>
      <c r="H10" s="6" t="n">
        <v>1</v>
      </c>
      <c r="I10" s="6" t="n">
        <v>0</v>
      </c>
      <c r="J10" s="6" t="n">
        <v>0</v>
      </c>
      <c r="K10" s="6" t="n">
        <v>0</v>
      </c>
      <c r="L10" s="6" t="n">
        <v>1</v>
      </c>
      <c r="M10" s="14" t="n">
        <f aca="false">SUM(D10:H10)</f>
        <v>2</v>
      </c>
      <c r="N10" s="14" t="n">
        <f aca="false">SUM(I10:L10)</f>
        <v>1</v>
      </c>
      <c r="O10" s="15" t="n">
        <f aca="false">1+M10+N10</f>
        <v>4</v>
      </c>
      <c r="P10" s="14" t="n">
        <f aca="false">O10-1</f>
        <v>3</v>
      </c>
    </row>
    <row r="11" customFormat="false" ht="15" hidden="false" customHeight="false" outlineLevel="0" collapsed="false">
      <c r="A11" s="16" t="s">
        <v>124</v>
      </c>
      <c r="B11" s="17" t="s">
        <v>39</v>
      </c>
      <c r="C11" s="17" t="s">
        <v>122</v>
      </c>
      <c r="D11" s="6" t="n">
        <v>1</v>
      </c>
      <c r="E11" s="6" t="n">
        <v>1</v>
      </c>
      <c r="F11" s="6" t="n">
        <v>1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1</v>
      </c>
      <c r="L11" s="6" t="n">
        <v>0</v>
      </c>
      <c r="M11" s="14" t="n">
        <f aca="false">SUM(D11:H11)</f>
        <v>3</v>
      </c>
      <c r="N11" s="14" t="n">
        <f aca="false">SUM(I11:L11)</f>
        <v>1</v>
      </c>
      <c r="O11" s="15" t="n">
        <f aca="false">1+M11+N11</f>
        <v>5</v>
      </c>
      <c r="P11" s="14" t="n">
        <f aca="false">O11-1</f>
        <v>4</v>
      </c>
    </row>
    <row r="12" customFormat="false" ht="15" hidden="false" customHeight="false" outlineLevel="0" collapsed="false">
      <c r="A12" s="18" t="s">
        <v>125</v>
      </c>
      <c r="B12" s="19" t="s">
        <v>42</v>
      </c>
      <c r="C12" s="19" t="s">
        <v>126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1</v>
      </c>
      <c r="I12" s="6" t="n">
        <v>0</v>
      </c>
      <c r="J12" s="6" t="n">
        <v>0</v>
      </c>
      <c r="K12" s="6" t="n">
        <v>1</v>
      </c>
      <c r="L12" s="6" t="n">
        <v>0</v>
      </c>
      <c r="M12" s="14" t="n">
        <f aca="false">SUM(D12:H12)</f>
        <v>1</v>
      </c>
      <c r="N12" s="14" t="n">
        <f aca="false">SUM(I12:L12)</f>
        <v>1</v>
      </c>
      <c r="O12" s="15" t="n">
        <f aca="false">1+M12+N12</f>
        <v>3</v>
      </c>
      <c r="P12" s="14" t="n">
        <f aca="false">O12-1</f>
        <v>2</v>
      </c>
    </row>
    <row r="13" customFormat="false" ht="15" hidden="false" customHeight="false" outlineLevel="0" collapsed="false">
      <c r="A13" s="18" t="s">
        <v>127</v>
      </c>
      <c r="B13" s="19" t="s">
        <v>42</v>
      </c>
      <c r="C13" s="19" t="s">
        <v>126</v>
      </c>
      <c r="D13" s="6" t="n">
        <v>1</v>
      </c>
      <c r="E13" s="6" t="n">
        <v>0</v>
      </c>
      <c r="F13" s="6" t="n">
        <v>1</v>
      </c>
      <c r="G13" s="6" t="n">
        <v>0</v>
      </c>
      <c r="H13" s="6" t="n">
        <v>1</v>
      </c>
      <c r="I13" s="6" t="n">
        <v>1</v>
      </c>
      <c r="J13" s="6" t="n">
        <v>0</v>
      </c>
      <c r="K13" s="6" t="n">
        <v>1</v>
      </c>
      <c r="L13" s="6" t="n">
        <v>0</v>
      </c>
      <c r="M13" s="14" t="n">
        <f aca="false">SUM(D13:H13)</f>
        <v>3</v>
      </c>
      <c r="N13" s="14" t="n">
        <f aca="false">SUM(I13:L13)</f>
        <v>2</v>
      </c>
      <c r="O13" s="15" t="n">
        <f aca="false">1+M13+N13</f>
        <v>6</v>
      </c>
      <c r="P13" s="14" t="n">
        <f aca="false">O13-1</f>
        <v>5</v>
      </c>
    </row>
    <row r="14" customFormat="false" ht="15" hidden="false" customHeight="false" outlineLevel="0" collapsed="false">
      <c r="A14" s="20" t="s">
        <v>128</v>
      </c>
      <c r="B14" s="21" t="s">
        <v>45</v>
      </c>
      <c r="C14" s="21" t="s">
        <v>129</v>
      </c>
      <c r="D14" s="6" t="n">
        <v>1</v>
      </c>
      <c r="E14" s="6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1</v>
      </c>
      <c r="L14" s="6" t="n">
        <v>0</v>
      </c>
      <c r="M14" s="14" t="n">
        <f aca="false">SUM(D14:H14)</f>
        <v>2</v>
      </c>
      <c r="N14" s="14" t="n">
        <f aca="false">SUM(I14:L14)</f>
        <v>1</v>
      </c>
      <c r="O14" s="15" t="n">
        <f aca="false">1+M14+N14</f>
        <v>4</v>
      </c>
      <c r="P14" s="14" t="n">
        <f aca="false">O14-1</f>
        <v>3</v>
      </c>
    </row>
    <row r="15" customFormat="false" ht="15" hidden="false" customHeight="false" outlineLevel="0" collapsed="false">
      <c r="A15" s="20" t="s">
        <v>130</v>
      </c>
      <c r="B15" s="21" t="s">
        <v>45</v>
      </c>
      <c r="C15" s="21" t="s">
        <v>129</v>
      </c>
      <c r="D15" s="6" t="n">
        <v>0</v>
      </c>
      <c r="E15" s="6" t="n">
        <v>0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0</v>
      </c>
      <c r="L15" s="6" t="n">
        <v>0</v>
      </c>
      <c r="M15" s="14" t="n">
        <f aca="false">SUM(D15:H15)</f>
        <v>3</v>
      </c>
      <c r="N15" s="14" t="n">
        <f aca="false">SUM(I15:L15)</f>
        <v>2</v>
      </c>
      <c r="O15" s="15" t="n">
        <f aca="false">1+M15+N15</f>
        <v>6</v>
      </c>
      <c r="P15" s="14" t="n">
        <f aca="false">O15-1</f>
        <v>5</v>
      </c>
    </row>
    <row r="16" customFormat="false" ht="15" hidden="false" customHeight="false" outlineLevel="0" collapsed="false">
      <c r="A16" s="20" t="s">
        <v>131</v>
      </c>
      <c r="B16" s="21" t="s">
        <v>45</v>
      </c>
      <c r="C16" s="21" t="s">
        <v>129</v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0</v>
      </c>
      <c r="K16" s="6" t="n">
        <v>1</v>
      </c>
      <c r="L16" s="6" t="n">
        <v>0</v>
      </c>
      <c r="M16" s="14" t="n">
        <f aca="false">SUM(D16:H16)</f>
        <v>5</v>
      </c>
      <c r="N16" s="14" t="n">
        <f aca="false">SUM(I16:L16)</f>
        <v>2</v>
      </c>
      <c r="O16" s="15" t="n">
        <f aca="false">1+M16+N16</f>
        <v>8</v>
      </c>
      <c r="P16" s="14" t="n">
        <f aca="false">O16-1</f>
        <v>7</v>
      </c>
    </row>
    <row r="18" customFormat="false" ht="15" hidden="false" customHeight="false" outlineLevel="0" collapsed="false">
      <c r="A18" s="7" t="s">
        <v>132</v>
      </c>
      <c r="C18" s="15" t="n">
        <f aca="false">COUNTA(A5:A16)</f>
        <v>12</v>
      </c>
    </row>
    <row r="19" customFormat="false" ht="15" hidden="false" customHeight="false" outlineLevel="0" collapsed="false">
      <c r="A19" s="8" t="s">
        <v>133</v>
      </c>
      <c r="C19" s="14" t="n">
        <f aca="false">MIN(O5:O16)</f>
        <v>3</v>
      </c>
    </row>
    <row r="20" customFormat="false" ht="15" hidden="false" customHeight="false" outlineLevel="0" collapsed="false">
      <c r="A20" s="8" t="s">
        <v>134</v>
      </c>
      <c r="C20" s="14" t="n">
        <f aca="false">MAX(O5:O16)</f>
        <v>8</v>
      </c>
    </row>
    <row r="21" customFormat="false" ht="15" hidden="false" customHeight="false" outlineLevel="0" collapsed="false">
      <c r="A21" s="8" t="s">
        <v>135</v>
      </c>
      <c r="C21" s="22" t="n">
        <f aca="false">ROUND(AVERAGE(O5:O16),1)</f>
        <v>5.1</v>
      </c>
    </row>
    <row r="23" customFormat="false" ht="15" hidden="false" customHeight="false" outlineLevel="0" collapsed="false">
      <c r="A23" s="2" t="s">
        <v>136</v>
      </c>
    </row>
    <row r="24" customFormat="false" ht="15" hidden="false" customHeight="false" outlineLevel="0" collapsed="false">
      <c r="A24" s="2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138</v>
      </c>
    </row>
    <row r="3" customFormat="false" ht="15" hidden="false" customHeight="false" outlineLevel="0" collapsed="false">
      <c r="A3" s="7" t="s">
        <v>139</v>
      </c>
    </row>
    <row r="4" customFormat="false" ht="15" hidden="false" customHeight="false" outlineLevel="0" collapsed="false">
      <c r="A4" s="3" t="s">
        <v>140</v>
      </c>
      <c r="B4" s="3" t="s">
        <v>105</v>
      </c>
      <c r="C4" s="3" t="s">
        <v>141</v>
      </c>
      <c r="D4" s="3" t="s">
        <v>142</v>
      </c>
    </row>
    <row r="5" customFormat="false" ht="15" hidden="false" customHeight="false" outlineLevel="0" collapsed="false">
      <c r="A5" s="12" t="s">
        <v>115</v>
      </c>
      <c r="B5" s="23" t="s">
        <v>116</v>
      </c>
      <c r="C5" s="6" t="n">
        <v>3</v>
      </c>
      <c r="D5" s="6" t="s">
        <v>143</v>
      </c>
    </row>
    <row r="6" customFormat="false" ht="15" hidden="false" customHeight="false" outlineLevel="0" collapsed="false">
      <c r="A6" s="16" t="s">
        <v>121</v>
      </c>
      <c r="B6" s="24" t="s">
        <v>39</v>
      </c>
      <c r="C6" s="6" t="n">
        <v>3</v>
      </c>
      <c r="D6" s="6" t="s">
        <v>143</v>
      </c>
    </row>
    <row r="7" customFormat="false" ht="15" hidden="false" customHeight="false" outlineLevel="0" collapsed="false">
      <c r="A7" s="18" t="s">
        <v>125</v>
      </c>
      <c r="B7" s="25" t="s">
        <v>42</v>
      </c>
      <c r="C7" s="6" t="n">
        <v>3</v>
      </c>
      <c r="D7" s="6" t="s">
        <v>143</v>
      </c>
    </row>
    <row r="8" customFormat="false" ht="15" hidden="false" customHeight="false" outlineLevel="0" collapsed="false">
      <c r="A8" s="16" t="s">
        <v>123</v>
      </c>
      <c r="B8" s="24" t="s">
        <v>39</v>
      </c>
      <c r="C8" s="6" t="n">
        <v>4</v>
      </c>
      <c r="D8" s="6" t="s">
        <v>144</v>
      </c>
    </row>
    <row r="9" customFormat="false" ht="15" hidden="false" customHeight="false" outlineLevel="0" collapsed="false">
      <c r="A9" s="20" t="s">
        <v>128</v>
      </c>
      <c r="B9" s="26" t="s">
        <v>45</v>
      </c>
      <c r="C9" s="6" t="n">
        <v>4</v>
      </c>
      <c r="D9" s="6" t="s">
        <v>144</v>
      </c>
    </row>
    <row r="10" customFormat="false" ht="15" hidden="false" customHeight="false" outlineLevel="0" collapsed="false">
      <c r="A10" s="12" t="s">
        <v>119</v>
      </c>
      <c r="B10" s="23" t="s">
        <v>116</v>
      </c>
      <c r="C10" s="6" t="n">
        <v>5</v>
      </c>
      <c r="D10" s="6" t="s">
        <v>144</v>
      </c>
    </row>
    <row r="11" customFormat="false" ht="15" hidden="false" customHeight="false" outlineLevel="0" collapsed="false">
      <c r="A11" s="16" t="s">
        <v>124</v>
      </c>
      <c r="B11" s="24" t="s">
        <v>39</v>
      </c>
      <c r="C11" s="6" t="n">
        <v>5</v>
      </c>
      <c r="D11" s="6" t="s">
        <v>144</v>
      </c>
    </row>
    <row r="12" customFormat="false" ht="15" hidden="false" customHeight="false" outlineLevel="0" collapsed="false">
      <c r="A12" s="12" t="s">
        <v>118</v>
      </c>
      <c r="B12" s="23" t="s">
        <v>116</v>
      </c>
      <c r="C12" s="6" t="n">
        <v>6</v>
      </c>
      <c r="D12" s="6" t="s">
        <v>145</v>
      </c>
    </row>
    <row r="13" customFormat="false" ht="15" hidden="false" customHeight="false" outlineLevel="0" collapsed="false">
      <c r="A13" s="18" t="s">
        <v>127</v>
      </c>
      <c r="B13" s="25" t="s">
        <v>42</v>
      </c>
      <c r="C13" s="6" t="n">
        <v>6</v>
      </c>
      <c r="D13" s="6" t="s">
        <v>145</v>
      </c>
    </row>
    <row r="14" customFormat="false" ht="15" hidden="false" customHeight="false" outlineLevel="0" collapsed="false">
      <c r="A14" s="20" t="s">
        <v>130</v>
      </c>
      <c r="B14" s="26" t="s">
        <v>45</v>
      </c>
      <c r="C14" s="6" t="n">
        <v>6</v>
      </c>
      <c r="D14" s="6" t="s">
        <v>145</v>
      </c>
    </row>
    <row r="15" customFormat="false" ht="15" hidden="false" customHeight="false" outlineLevel="0" collapsed="false">
      <c r="A15" s="12" t="s">
        <v>120</v>
      </c>
      <c r="B15" s="23" t="s">
        <v>116</v>
      </c>
      <c r="C15" s="6" t="n">
        <v>8</v>
      </c>
      <c r="D15" s="6" t="s">
        <v>146</v>
      </c>
    </row>
    <row r="16" customFormat="false" ht="15" hidden="false" customHeight="false" outlineLevel="0" collapsed="false">
      <c r="A16" s="20" t="s">
        <v>131</v>
      </c>
      <c r="B16" s="26" t="s">
        <v>45</v>
      </c>
      <c r="C16" s="6" t="n">
        <v>8</v>
      </c>
      <c r="D16" s="6" t="s">
        <v>146</v>
      </c>
    </row>
    <row r="18" customFormat="false" ht="15" hidden="false" customHeight="false" outlineLevel="0" collapsed="false">
      <c r="A18" s="7" t="s">
        <v>147</v>
      </c>
    </row>
    <row r="19" customFormat="false" ht="15" hidden="false" customHeight="false" outlineLevel="0" collapsed="false">
      <c r="A19" s="3" t="s">
        <v>148</v>
      </c>
      <c r="B19" s="3" t="s">
        <v>149</v>
      </c>
      <c r="C19" s="3" t="s">
        <v>150</v>
      </c>
      <c r="D19" s="3" t="s">
        <v>151</v>
      </c>
    </row>
    <row r="20" customFormat="false" ht="45.75" hidden="false" customHeight="true" outlineLevel="0" collapsed="false">
      <c r="A20" s="27" t="s">
        <v>152</v>
      </c>
      <c r="B20" s="28" t="s">
        <v>153</v>
      </c>
      <c r="C20" s="28" t="s">
        <v>154</v>
      </c>
      <c r="D20" s="28" t="s">
        <v>155</v>
      </c>
    </row>
    <row r="21" customFormat="false" ht="45.75" hidden="false" customHeight="true" outlineLevel="0" collapsed="false">
      <c r="A21" s="27" t="s">
        <v>156</v>
      </c>
      <c r="B21" s="28" t="s">
        <v>157</v>
      </c>
      <c r="C21" s="28" t="s">
        <v>154</v>
      </c>
      <c r="D21" s="28" t="s">
        <v>158</v>
      </c>
    </row>
    <row r="22" customFormat="false" ht="45.75" hidden="false" customHeight="true" outlineLevel="0" collapsed="false">
      <c r="A22" s="27" t="s">
        <v>159</v>
      </c>
      <c r="B22" s="28" t="s">
        <v>160</v>
      </c>
      <c r="C22" s="28" t="s">
        <v>161</v>
      </c>
      <c r="D22" s="28" t="s">
        <v>162</v>
      </c>
    </row>
    <row r="24" customFormat="false" ht="15" hidden="false" customHeight="false" outlineLevel="0" collapsed="false">
      <c r="A24" s="2" t="s">
        <v>163</v>
      </c>
    </row>
    <row r="25" customFormat="false" ht="15" hidden="false" customHeight="false" outlineLevel="0" collapsed="false">
      <c r="A25" s="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66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3" t="s">
        <v>167</v>
      </c>
      <c r="B4" s="3" t="s">
        <v>168</v>
      </c>
      <c r="C4" s="3" t="s">
        <v>169</v>
      </c>
      <c r="D4" s="3" t="s">
        <v>141</v>
      </c>
      <c r="E4" s="3" t="s">
        <v>170</v>
      </c>
    </row>
    <row r="5" customFormat="false" ht="30" hidden="false" customHeight="true" outlineLevel="0" collapsed="false">
      <c r="A5" s="6" t="s">
        <v>171</v>
      </c>
      <c r="B5" s="29" t="s">
        <v>115</v>
      </c>
      <c r="C5" s="30" t="s">
        <v>172</v>
      </c>
      <c r="D5" s="6" t="s">
        <v>173</v>
      </c>
      <c r="E5" s="30" t="s">
        <v>174</v>
      </c>
    </row>
    <row r="6" customFormat="false" ht="30" hidden="false" customHeight="true" outlineLevel="0" collapsed="false">
      <c r="A6" s="6" t="s">
        <v>173</v>
      </c>
      <c r="B6" s="29" t="s">
        <v>175</v>
      </c>
      <c r="C6" s="30" t="s">
        <v>176</v>
      </c>
      <c r="D6" s="6" t="s">
        <v>177</v>
      </c>
      <c r="E6" s="30" t="s">
        <v>178</v>
      </c>
    </row>
    <row r="7" customFormat="false" ht="30" hidden="false" customHeight="true" outlineLevel="0" collapsed="false">
      <c r="A7" s="6" t="s">
        <v>179</v>
      </c>
      <c r="B7" s="29" t="s">
        <v>180</v>
      </c>
      <c r="C7" s="30" t="s">
        <v>181</v>
      </c>
      <c r="D7" s="6" t="s">
        <v>182</v>
      </c>
      <c r="E7" s="30" t="s">
        <v>183</v>
      </c>
    </row>
    <row r="8" customFormat="false" ht="30" hidden="false" customHeight="true" outlineLevel="0" collapsed="false">
      <c r="A8" s="6" t="s">
        <v>184</v>
      </c>
      <c r="B8" s="29" t="s">
        <v>121</v>
      </c>
      <c r="C8" s="30" t="s">
        <v>185</v>
      </c>
      <c r="D8" s="6" t="s">
        <v>179</v>
      </c>
      <c r="E8" s="30" t="s">
        <v>186</v>
      </c>
    </row>
    <row r="9" customFormat="false" ht="30" hidden="false" customHeight="true" outlineLevel="0" collapsed="false">
      <c r="A9" s="6" t="s">
        <v>187</v>
      </c>
      <c r="B9" s="29" t="s">
        <v>188</v>
      </c>
      <c r="C9" s="30" t="s">
        <v>189</v>
      </c>
      <c r="D9" s="6" t="s">
        <v>190</v>
      </c>
      <c r="E9" s="30" t="s">
        <v>191</v>
      </c>
    </row>
    <row r="10" customFormat="false" ht="30" hidden="false" customHeight="true" outlineLevel="0" collapsed="false">
      <c r="A10" s="6" t="s">
        <v>192</v>
      </c>
      <c r="B10" s="29" t="s">
        <v>193</v>
      </c>
      <c r="C10" s="30" t="s">
        <v>194</v>
      </c>
      <c r="D10" s="6" t="s">
        <v>195</v>
      </c>
      <c r="E10" s="30" t="s">
        <v>196</v>
      </c>
    </row>
    <row r="11" customFormat="false" ht="30" hidden="false" customHeight="true" outlineLevel="0" collapsed="false">
      <c r="A11" s="6" t="s">
        <v>197</v>
      </c>
      <c r="B11" s="29" t="s">
        <v>198</v>
      </c>
      <c r="C11" s="30" t="s">
        <v>199</v>
      </c>
      <c r="D11" s="6" t="s">
        <v>200</v>
      </c>
      <c r="E11" s="30" t="s">
        <v>201</v>
      </c>
    </row>
    <row r="12" customFormat="false" ht="30" hidden="false" customHeight="true" outlineLevel="0" collapsed="false">
      <c r="A12" s="6" t="s">
        <v>202</v>
      </c>
      <c r="B12" s="29" t="s">
        <v>203</v>
      </c>
      <c r="C12" s="30" t="s">
        <v>204</v>
      </c>
      <c r="D12" s="6" t="s">
        <v>202</v>
      </c>
      <c r="E12" s="30" t="s">
        <v>205</v>
      </c>
    </row>
    <row r="13" customFormat="false" ht="30" hidden="false" customHeight="true" outlineLevel="0" collapsed="false">
      <c r="A13" s="6" t="s">
        <v>206</v>
      </c>
      <c r="B13" s="29" t="s">
        <v>20</v>
      </c>
      <c r="C13" s="30" t="s">
        <v>207</v>
      </c>
      <c r="D13" s="6" t="s">
        <v>208</v>
      </c>
      <c r="E13" s="30" t="s">
        <v>209</v>
      </c>
    </row>
    <row r="14" customFormat="false" ht="30" hidden="false" customHeight="true" outlineLevel="0" collapsed="false">
      <c r="A14" s="6" t="s">
        <v>210</v>
      </c>
      <c r="B14" s="29" t="s">
        <v>23</v>
      </c>
      <c r="C14" s="30" t="s">
        <v>211</v>
      </c>
      <c r="D14" s="6" t="s">
        <v>208</v>
      </c>
      <c r="E14" s="30" t="s">
        <v>212</v>
      </c>
    </row>
    <row r="15" customFormat="false" ht="30" hidden="false" customHeight="true" outlineLevel="0" collapsed="false">
      <c r="A15" s="6" t="s">
        <v>213</v>
      </c>
      <c r="B15" s="29" t="s">
        <v>214</v>
      </c>
      <c r="C15" s="30" t="s">
        <v>215</v>
      </c>
      <c r="D15" s="6" t="s">
        <v>208</v>
      </c>
      <c r="E15" s="30" t="s">
        <v>216</v>
      </c>
    </row>
    <row r="17" customFormat="false" ht="15" hidden="false" customHeight="false" outlineLevel="0" collapsed="false">
      <c r="A17" s="2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" t="s">
        <v>219</v>
      </c>
    </row>
    <row r="4" customFormat="false" ht="15" hidden="false" customHeight="false" outlineLevel="0" collapsed="false">
      <c r="A4" s="3" t="s">
        <v>32</v>
      </c>
      <c r="B4" s="3" t="s">
        <v>220</v>
      </c>
      <c r="C4" s="3" t="s">
        <v>221</v>
      </c>
      <c r="D4" s="3" t="s">
        <v>170</v>
      </c>
    </row>
    <row r="5" customFormat="false" ht="55.5" hidden="false" customHeight="true" outlineLevel="0" collapsed="false">
      <c r="A5" s="31" t="n">
        <v>1</v>
      </c>
      <c r="B5" s="32" t="s">
        <v>222</v>
      </c>
      <c r="C5" s="33" t="s">
        <v>223</v>
      </c>
      <c r="D5" s="33" t="s">
        <v>224</v>
      </c>
    </row>
    <row r="6" customFormat="false" ht="55.5" hidden="false" customHeight="true" outlineLevel="0" collapsed="false">
      <c r="A6" s="31" t="n">
        <v>2</v>
      </c>
      <c r="B6" s="32" t="s">
        <v>225</v>
      </c>
      <c r="C6" s="33" t="s">
        <v>226</v>
      </c>
      <c r="D6" s="33" t="s">
        <v>227</v>
      </c>
    </row>
    <row r="7" customFormat="false" ht="55.5" hidden="false" customHeight="true" outlineLevel="0" collapsed="false">
      <c r="A7" s="31" t="n">
        <v>3</v>
      </c>
      <c r="B7" s="32" t="s">
        <v>228</v>
      </c>
      <c r="C7" s="33" t="s">
        <v>229</v>
      </c>
      <c r="D7" s="33" t="s">
        <v>230</v>
      </c>
    </row>
    <row r="8" customFormat="false" ht="55.5" hidden="false" customHeight="true" outlineLevel="0" collapsed="false">
      <c r="A8" s="31" t="n">
        <v>4</v>
      </c>
      <c r="B8" s="32" t="s">
        <v>231</v>
      </c>
      <c r="C8" s="33" t="s">
        <v>232</v>
      </c>
      <c r="D8" s="33" t="s">
        <v>233</v>
      </c>
    </row>
    <row r="9" customFormat="false" ht="55.5" hidden="false" customHeight="true" outlineLevel="0" collapsed="false">
      <c r="A9" s="31" t="n">
        <v>5</v>
      </c>
      <c r="B9" s="32" t="s">
        <v>234</v>
      </c>
      <c r="C9" s="33" t="s">
        <v>235</v>
      </c>
      <c r="D9" s="33" t="s">
        <v>236</v>
      </c>
    </row>
    <row r="10" customFormat="false" ht="55.5" hidden="false" customHeight="true" outlineLevel="0" collapsed="false">
      <c r="A10" s="31" t="n">
        <v>6</v>
      </c>
      <c r="B10" s="32" t="s">
        <v>237</v>
      </c>
      <c r="C10" s="33" t="s">
        <v>238</v>
      </c>
      <c r="D10" s="33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1" t="s">
        <v>240</v>
      </c>
    </row>
    <row r="2" customFormat="false" ht="15" hidden="false" customHeight="false" outlineLevel="0" collapsed="false">
      <c r="A2" s="2" t="s">
        <v>241</v>
      </c>
    </row>
    <row r="4" customFormat="false" ht="15" hidden="false" customHeight="false" outlineLevel="0" collapsed="false">
      <c r="A4" s="7" t="s">
        <v>242</v>
      </c>
      <c r="B4" s="7" t="s">
        <v>243</v>
      </c>
    </row>
    <row r="5" customFormat="false" ht="15" hidden="false" customHeight="false" outlineLevel="0" collapsed="false">
      <c r="A5" s="8" t="s">
        <v>244</v>
      </c>
      <c r="B5" s="34" t="s">
        <v>245</v>
      </c>
    </row>
    <row r="6" customFormat="false" ht="15" hidden="false" customHeight="false" outlineLevel="0" collapsed="false">
      <c r="A6" s="8" t="s">
        <v>246</v>
      </c>
      <c r="B6" s="34" t="s">
        <v>247</v>
      </c>
    </row>
    <row r="7" customFormat="false" ht="15" hidden="false" customHeight="false" outlineLevel="0" collapsed="false">
      <c r="A7" s="8" t="s">
        <v>248</v>
      </c>
      <c r="B7" s="34" t="s">
        <v>249</v>
      </c>
    </row>
    <row r="8" customFormat="false" ht="15" hidden="false" customHeight="false" outlineLevel="0" collapsed="false">
      <c r="A8" s="8" t="s">
        <v>250</v>
      </c>
      <c r="B8" s="34" t="s">
        <v>251</v>
      </c>
    </row>
  </sheetData>
  <hyperlinks>
    <hyperlink ref="B5" r:id="rId1" display="https://www.mcdonalds.com/us/en-us/product/quarter-pounder-with-cheese.html"/>
    <hyperlink ref="B6" r:id="rId2" display="https://www.mcdonalds.com/us/en-us/product/filet-o-fish.html"/>
    <hyperlink ref="B7" r:id="rId3" display="https://www.mcdonalds.com/us/en-us/product/mcplant.html"/>
    <hyperlink ref="B8" r:id="rId4" display="https://en.wikipedia.org/wiki/McChick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2026-09-16T20:30:07Z</dcterms:created>
  <dc:creator>openpyxl</dc:creator>
  <dc:description/>
  <dc:language>en-US</dc:language>
  <cp:lastModifiedBy/>
  <dcterms:modified xsi:type="dcterms:W3CDTF">2026-09-16T20:30:07Z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